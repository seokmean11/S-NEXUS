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15" yWindow="210" windowWidth="45315" windowHeight="11220"/>
  </bookViews>
  <sheets>
    <sheet sheetId="1" name="월별기성집계표" state="visible" r:id="rId4"/>
    <sheet sheetId="2" name="Sheet2" state="visible" r:id="rId5"/>
    <sheet sheetId="3" name="Sheet3" state="visible" r:id="rId6"/>
  </sheets>
  <definedNames>
    <definedName name="_xlnm.Print_Area" localSheetId="0">'월별기성집계표'!$A1:$M30</definedName>
  </definedNames>
  <calcPr calcId="171027"/>
</workbook>
</file>

<file path=xl/sharedStrings.xml><?xml version="1.0" encoding="utf-8"?>
<sst xmlns="http://schemas.openxmlformats.org/spreadsheetml/2006/main" count="45" uniqueCount="33">
  <si>
    <t>(25~26년) 월 별 기 성 집 계 표</t>
  </si>
  <si>
    <r>
      <t>작</t>
    </r>
    <r>
      <rPr>
        <b/>
        <family val="2"/>
        <sz val="10"/>
        <rFont val="Arial"/>
      </rPr>
      <t xml:space="preserve">   </t>
    </r>
    <r>
      <rPr>
        <b/>
        <charset val="129"/>
        <family val="3"/>
        <sz val="10"/>
        <rFont val="굴림"/>
      </rPr>
      <t>성</t>
    </r>
  </si>
  <si>
    <t>검  토</t>
  </si>
  <si>
    <r>
      <t>승</t>
    </r>
    <r>
      <rPr>
        <b/>
        <family val="2"/>
        <sz val="10"/>
        <rFont val="Arial"/>
      </rPr>
      <t xml:space="preserve">   </t>
    </r>
    <r>
      <rPr>
        <b/>
        <charset val="129"/>
        <family val="3"/>
        <sz val="10"/>
        <rFont val="굴림"/>
      </rPr>
      <t>인</t>
    </r>
  </si>
  <si>
    <r>
      <t>◐</t>
    </r>
    <r>
      <rPr>
        <b/>
        <family val="2"/>
        <sz val="11"/>
        <rFont val="Arial"/>
      </rPr>
      <t xml:space="preserve"> </t>
    </r>
    <r>
      <rPr>
        <b/>
        <charset val="129"/>
        <family val="3"/>
        <sz val="11"/>
        <rFont val="돋움"/>
      </rPr>
      <t>ⓑ누계기성금액 = 하도급업체 기성금액 + 직접경비 + 공통비</t>
    </r>
  </si>
  <si>
    <t>(부가가치세 별도)</t>
  </si>
  <si>
    <t>No.</t>
  </si>
  <si>
    <t>년도</t>
  </si>
  <si>
    <t>월</t>
  </si>
  <si>
    <t>ⓐ수주금액</t>
  </si>
  <si>
    <t>ⓑ수령금액</t>
  </si>
  <si>
    <t>ⓒ수령예정금액</t>
  </si>
  <si>
    <t>금월하도급업체기성요청분</t>
  </si>
  <si>
    <t xml:space="preserve">금월기성금액
(경비,일.관 포함)</t>
  </si>
  <si>
    <t>ⓓ누계기성금액</t>
  </si>
  <si>
    <t>수지금액(확정)</t>
  </si>
  <si>
    <r>
      <t xml:space="preserve">수지율(확정)
=(ⓑ-ⓓ)</t>
    </r>
    <r>
      <rPr>
        <b/>
        <family val="2"/>
        <sz val="11"/>
        <rFont val="Arial"/>
      </rPr>
      <t>÷</t>
    </r>
    <r>
      <rPr>
        <b/>
        <charset val="129"/>
        <family val="3"/>
        <sz val="11"/>
        <rFont val="굴림"/>
      </rPr>
      <t>ⓐ</t>
    </r>
  </si>
  <si>
    <t>수지금액(예정)</t>
  </si>
  <si>
    <r>
      <t xml:space="preserve">수지율(예정)
=(ⓑ+ⓒ-ⓓ)</t>
    </r>
    <r>
      <rPr>
        <b/>
        <family val="2"/>
        <sz val="11"/>
        <rFont val="Arial"/>
      </rPr>
      <t>÷</t>
    </r>
    <r>
      <rPr>
        <b/>
        <charset val="129"/>
        <family val="3"/>
        <sz val="11"/>
        <rFont val="굴림"/>
      </rPr>
      <t>ⓐ</t>
    </r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</si>
  <si>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</si>
  <si>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</si>
  <si>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</si>
  <si>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</si>
  <si>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</si>
  <si>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</si>
  <si>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</si>
  <si>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</si>
  <si>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</si>
  <si>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</si>
  <si>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</si>
  <si>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</si>
  <si>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2025년 합 계</t>
  </si>
  <si>
    <t>2026년 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</si>
</sst>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_ "/>
    <numFmt numFmtId="165" formatCode="0.0%"/>
    <numFmt numFmtId="166" formatCode="_-* #,##0_-;-* #,##0_-;_-* &quot;-&quot;_-;_-@_-"/>
  </numFmts>
  <fonts count="8" x14ac:knownFonts="1">
    <font>
      <color theme="1"/>
      <family val="2"/>
      <scheme val="minor"/>
      <sz val="11"/>
      <name val="Calibri"/>
    </font>
    <font>
      <b/>
      <charset val="129"/>
      <family val="3"/>
      <sz val="10"/>
      <name val="굴림"/>
    </font>
    <font>
      <b/>
      <charset val="129"/>
      <family val="1"/>
      <sz val="18"/>
      <name val="HY견고딕"/>
    </font>
    <font>
      <b/>
      <charset val="129"/>
      <family val="1"/>
      <sz val="24"/>
      <name val="HY견고딕"/>
    </font>
    <font>
      <b/>
      <family val="1"/>
      <sz val="11"/>
      <name val="Times New Roman"/>
    </font>
    <font>
      <b/>
      <charset val="129"/>
      <family val="3"/>
      <sz val="11"/>
      <name val="굴림"/>
    </font>
    <font>
      <b/>
      <charset val="129"/>
      <family val="3"/>
      <sz val="11"/>
      <name val="돋움"/>
    </font>
    <font>
      <b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Continuous"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Continuous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3" borderId="7" xfId="0" applyNumberFormat="1" applyFont="1" applyFill="1" applyBorder="1" applyAlignment="1">
      <alignment vertical="center"/>
    </xf>
    <xf numFmtId="165" fontId="1" fillId="0" borderId="7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1" fillId="3" borderId="8" xfId="0" applyNumberFormat="1" applyFont="1" applyFill="1" applyBorder="1" applyAlignment="1">
      <alignment vertical="center"/>
    </xf>
    <xf numFmtId="165" fontId="1" fillId="0" borderId="8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3" borderId="9" xfId="0" applyNumberFormat="1" applyFont="1" applyFill="1" applyBorder="1" applyAlignment="1">
      <alignment vertical="center"/>
    </xf>
    <xf numFmtId="165" fontId="1" fillId="0" borderId="9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vertical="center"/>
    </xf>
    <xf numFmtId="165" fontId="1" fillId="0" borderId="2" xfId="0" applyNumberFormat="1" applyFont="1" applyBorder="1" applyAlignment="1">
      <alignment horizontal="center" vertical="center"/>
    </xf>
    <xf numFmtId="164" fontId="6" fillId="4" borderId="10" xfId="0" applyNumberFormat="1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vertical="center"/>
    </xf>
    <xf numFmtId="165" fontId="1" fillId="4" borderId="10" xfId="0" applyNumberFormat="1" applyFont="1" applyFill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vertical="center"/>
    </xf>
    <xf numFmtId="165" fontId="1" fillId="4" borderId="11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 zoomScale="85" zoomScaleNormal="100" view="pageBreakPreview">
      <selection activeCell="D10" sqref="D10"/>
    </sheetView>
  </sheetViews>
  <sheetFormatPr defaultRowHeight="24" outlineLevelRow="0" outlineLevelCol="0" x14ac:dyDescent="0" defaultColWidth="15.625" customHeight="1"/>
  <cols>
    <col min="1" max="1" width="7.125" style="1" customWidth="1"/>
    <col min="2" max="2" width="11.25" style="2" customWidth="1"/>
    <col min="3" max="3" width="9.25" style="3" customWidth="1"/>
    <col min="4" max="10" width="17.5" style="3" customWidth="1"/>
    <col min="11" max="11" width="17.5" style="4" customWidth="1"/>
    <col min="12" max="13" width="17.5" style="3" customWidth="1"/>
    <col min="14" max="14" width="15.625" style="3" customWidth="1"/>
    <col min="15" max="15" width="11.25" style="3" customWidth="1"/>
    <col min="16" max="18" width="9.5" style="3" customWidth="1"/>
    <col min="19" max="16384" width="15.625" style="3" customWidth="1"/>
  </cols>
  <sheetData>
    <row r="1" ht="19.5" customHeight="1" spans="1:13" x14ac:dyDescent="0.25">
      <c r="A1" s="5"/>
      <c r="B1" s="6" t="s">
        <v>0</v>
      </c>
      <c r="C1" s="6"/>
      <c r="D1" s="6"/>
      <c r="E1" s="6"/>
      <c r="F1" s="6"/>
      <c r="G1" s="7"/>
      <c r="H1" s="1"/>
      <c r="I1" s="1"/>
      <c r="J1" s="1"/>
      <c r="K1" s="8" t="s">
        <v>1</v>
      </c>
      <c r="L1" s="9" t="s">
        <v>2</v>
      </c>
      <c r="M1" s="10" t="s">
        <v>3</v>
      </c>
    </row>
    <row r="2" ht="41.25" customHeight="1" spans="1:13" x14ac:dyDescent="0.25">
      <c r="A2" s="11"/>
      <c r="B2" s="6"/>
      <c r="C2" s="6"/>
      <c r="D2" s="6"/>
      <c r="E2" s="6"/>
      <c r="F2" s="6"/>
      <c r="G2" s="7"/>
      <c r="H2" s="1"/>
      <c r="I2" s="1"/>
      <c r="J2" s="1"/>
      <c r="K2" s="12"/>
      <c r="L2" s="13"/>
      <c r="M2" s="14"/>
    </row>
    <row r="3" ht="36" customHeight="1" spans="1:13" s="15" customFormat="1" x14ac:dyDescent="0.25">
      <c r="A3" s="16" t="s">
        <v>4</v>
      </c>
      <c r="B3" s="17"/>
      <c r="C3" s="16"/>
      <c r="E3" s="11"/>
      <c r="F3" s="11"/>
      <c r="G3" s="11"/>
      <c r="I3" s="18"/>
      <c r="J3" s="18"/>
      <c r="K3" s="18"/>
      <c r="L3" s="18"/>
      <c r="M3" s="15" t="s">
        <v>5</v>
      </c>
    </row>
    <row r="4" ht="32.25" customHeight="1" spans="1:13" s="18" customFormat="1" x14ac:dyDescent="0.25">
      <c r="A4" s="19" t="s">
        <v>6</v>
      </c>
      <c r="B4" s="20" t="s">
        <v>7</v>
      </c>
      <c r="C4" s="21" t="s">
        <v>8</v>
      </c>
      <c r="D4" s="21" t="s">
        <v>9</v>
      </c>
      <c r="E4" s="22" t="s">
        <v>10</v>
      </c>
      <c r="F4" s="22" t="s">
        <v>11</v>
      </c>
      <c r="G4" s="23" t="s">
        <v>12</v>
      </c>
      <c r="H4" s="24" t="s">
        <v>13</v>
      </c>
      <c r="I4" s="21" t="s">
        <v>14</v>
      </c>
      <c r="J4" s="22" t="s">
        <v>15</v>
      </c>
      <c r="K4" s="25" t="s">
        <v>16</v>
      </c>
      <c r="L4" s="26" t="s">
        <v>17</v>
      </c>
      <c r="M4" s="25" t="s">
        <v>18</v>
      </c>
    </row>
    <row r="5" ht="22.5" customHeight="1" spans="1:13" s="18" customFormat="1" x14ac:dyDescent="0.25">
      <c r="A5" s="19">
        <v>1</v>
      </c>
      <c r="B5" s="27">
        <v>2025</v>
      </c>
      <c r="C5" s="28" t="s">
        <v>19</v>
      </c>
      <c r="D5" s="29">
        <v>266221550888.63638</v>
      </c>
      <c r="E5" s="29">
        <v>153688334801.72726</v>
      </c>
      <c r="F5" s="29">
        <v>19368004319.727272</v>
      </c>
      <c r="G5" s="30">
        <v>17341968425.71006</v>
      </c>
      <c r="H5" s="31">
        <v>21055060768.2296</v>
      </c>
      <c r="I5" s="29">
        <v>154572814418.6347</v>
      </c>
      <c r="J5" s="29">
        <f t="shared" ref="J5:J16" si="0">E5-I5</f>
        <v>-884479616.9074402</v>
      </c>
      <c r="K5" s="32">
        <f t="shared" ref="K5:K30" si="1">(E5-I5)/D5</f>
        <v>-0.0033223441676869673</v>
      </c>
      <c r="L5" s="29">
        <f t="shared" ref="L5:L16" si="2">E5+F5-I5</f>
        <v>18483524702.819824</v>
      </c>
      <c r="M5" s="32">
        <f t="shared" ref="M5:M30" si="3">(E5+F5-I5)/D5</f>
        <v>0.0694291076027564</v>
      </c>
    </row>
    <row r="6" ht="23.25" customHeight="1" spans="1:13" s="15" customFormat="1" x14ac:dyDescent="0.25">
      <c r="A6" s="19">
        <v>2</v>
      </c>
      <c r="B6" s="27">
        <v>2025</v>
      </c>
      <c r="C6" s="28" t="s">
        <v>20</v>
      </c>
      <c r="D6" s="29">
        <v>246951041862.54547</v>
      </c>
      <c r="E6" s="29">
        <v>143647338043.0909</v>
      </c>
      <c r="F6" s="29">
        <v>18570968975.454548</v>
      </c>
      <c r="G6" s="30">
        <v>8747256526.615385</v>
      </c>
      <c r="H6" s="31">
        <v>11212011358.106005</v>
      </c>
      <c r="I6" s="29">
        <v>143147982896.99265</v>
      </c>
      <c r="J6" s="29">
        <f t="shared" si="0"/>
        <v>499355146.0982666</v>
      </c>
      <c r="K6" s="32">
        <f t="shared" si="1"/>
        <v>0.0020220815524083146</v>
      </c>
      <c r="L6" s="29">
        <f t="shared" si="2"/>
        <v>19070324121.552826</v>
      </c>
      <c r="M6" s="32">
        <f t="shared" si="3"/>
        <v>0.07722309643936424</v>
      </c>
    </row>
    <row r="7" ht="23.25" customHeight="1" spans="1:13" s="15" customFormat="1" x14ac:dyDescent="0.25">
      <c r="A7" s="33">
        <v>3</v>
      </c>
      <c r="B7" s="34">
        <v>2025</v>
      </c>
      <c r="C7" s="35" t="s">
        <v>21</v>
      </c>
      <c r="D7" s="36">
        <v>264897233259.1818</v>
      </c>
      <c r="E7" s="36">
        <v>159718784229.1818</v>
      </c>
      <c r="F7" s="36">
        <v>11606572893.636364</v>
      </c>
      <c r="G7" s="37">
        <v>12059938514.053846</v>
      </c>
      <c r="H7" s="38">
        <v>14759684196.118776</v>
      </c>
      <c r="I7" s="36">
        <v>157849877674.18115</v>
      </c>
      <c r="J7" s="36">
        <f t="shared" si="0"/>
        <v>1868906555.0006409</v>
      </c>
      <c r="K7" s="39">
        <f t="shared" si="1"/>
        <v>0.007055213570962661</v>
      </c>
      <c r="L7" s="36">
        <f t="shared" si="2"/>
        <v>13475479448.636993</v>
      </c>
      <c r="M7" s="39">
        <f t="shared" si="3"/>
        <v>0.050870593410283986</v>
      </c>
    </row>
    <row r="8" ht="23.25" customHeight="1" spans="1:13" s="15" customFormat="1" x14ac:dyDescent="0.25">
      <c r="A8" s="40">
        <v>4</v>
      </c>
      <c r="B8" s="41">
        <v>2025</v>
      </c>
      <c r="C8" s="42" t="s">
        <v>22</v>
      </c>
      <c r="D8" s="43">
        <v>254075616288.18182</v>
      </c>
      <c r="E8" s="43">
        <v>156421901636.09088</v>
      </c>
      <c r="F8" s="43">
        <v>9524466693.636364</v>
      </c>
      <c r="G8" s="44">
        <v>14418952147.128426</v>
      </c>
      <c r="H8" s="45">
        <v>17390484312.888454</v>
      </c>
      <c r="I8" s="43">
        <v>160915819687.41895</v>
      </c>
      <c r="J8" s="43">
        <f t="shared" si="0"/>
        <v>-4493918051.328064</v>
      </c>
      <c r="K8" s="46">
        <f t="shared" si="1"/>
        <v>-0.017687325202552687</v>
      </c>
      <c r="L8" s="43">
        <f t="shared" si="2"/>
        <v>5030548642.308289</v>
      </c>
      <c r="M8" s="46">
        <f t="shared" si="3"/>
        <v>0.019799415291400717</v>
      </c>
    </row>
    <row r="9" ht="23.25" customHeight="1" spans="1:13" s="15" customFormat="1" x14ac:dyDescent="0.25">
      <c r="A9" s="19">
        <v>5</v>
      </c>
      <c r="B9" s="27">
        <v>2025</v>
      </c>
      <c r="C9" s="28" t="s">
        <v>23</v>
      </c>
      <c r="D9" s="29">
        <v>254326919308.45456</v>
      </c>
      <c r="E9" s="29">
        <v>161091028749.0909</v>
      </c>
      <c r="F9" s="29">
        <v>19569726075.454544</v>
      </c>
      <c r="G9" s="30">
        <v>10524681551.415863</v>
      </c>
      <c r="H9" s="31">
        <v>12992465010.525373</v>
      </c>
      <c r="I9" s="29">
        <v>171851217318.61826</v>
      </c>
      <c r="J9" s="29">
        <f t="shared" si="0"/>
        <v>-10760188569.527344</v>
      </c>
      <c r="K9" s="32">
        <f t="shared" si="1"/>
        <v>-0.04230849254489296</v>
      </c>
      <c r="L9" s="29">
        <f t="shared" si="2"/>
        <v>8809537505.927216</v>
      </c>
      <c r="M9" s="32">
        <f t="shared" si="3"/>
        <v>0.034638635697241196</v>
      </c>
    </row>
    <row r="10" ht="23.25" customHeight="1" spans="1:13" s="15" customFormat="1" x14ac:dyDescent="0.25">
      <c r="A10" s="47">
        <v>6</v>
      </c>
      <c r="B10" s="48">
        <v>2025</v>
      </c>
      <c r="C10" s="49" t="s">
        <v>24</v>
      </c>
      <c r="D10" s="50">
        <v>247690425472.72726</v>
      </c>
      <c r="E10" s="50">
        <v>159017945730.63635</v>
      </c>
      <c r="F10" s="50">
        <v>18497958636.363636</v>
      </c>
      <c r="G10" s="51">
        <v>9206297380.51949</v>
      </c>
      <c r="H10" s="52">
        <v>11530219208.012817</v>
      </c>
      <c r="I10" s="50">
        <v>170271424386.91135</v>
      </c>
      <c r="J10" s="50">
        <f t="shared" si="0"/>
        <v>-11253478656.274994</v>
      </c>
      <c r="K10" s="53">
        <f t="shared" si="1"/>
        <v>-0.045433644174163255</v>
      </c>
      <c r="L10" s="50">
        <f t="shared" si="2"/>
        <v>7244479980.088654</v>
      </c>
      <c r="M10" s="53">
        <f t="shared" si="3"/>
        <v>0.029248122797892847</v>
      </c>
    </row>
    <row r="11" ht="23.25" customHeight="1" spans="1:13" s="15" customFormat="1" x14ac:dyDescent="0.25">
      <c r="A11" s="54">
        <v>7</v>
      </c>
      <c r="B11" s="55">
        <v>2025</v>
      </c>
      <c r="C11" s="56" t="s">
        <v>25</v>
      </c>
      <c r="D11" s="57">
        <v>251584543563.63635</v>
      </c>
      <c r="E11" s="57">
        <v>170202414021</v>
      </c>
      <c r="F11" s="57">
        <v>13470715053.818182</v>
      </c>
      <c r="G11" s="58">
        <v>4258430073.833846</v>
      </c>
      <c r="H11" s="59">
        <v>5663977058.321855</v>
      </c>
      <c r="I11" s="57">
        <v>170205829958.37537</v>
      </c>
      <c r="J11" s="57">
        <f t="shared" si="0"/>
        <v>-3415937.375366211</v>
      </c>
      <c r="K11" s="60">
        <f t="shared" si="1"/>
        <v>-0.000013577691725335171</v>
      </c>
      <c r="L11" s="57">
        <f t="shared" si="2"/>
        <v>13467299116.44281</v>
      </c>
      <c r="M11" s="60">
        <f t="shared" si="3"/>
        <v>0.05352991453958841</v>
      </c>
    </row>
    <row r="12" ht="23.25" customHeight="1" spans="1:13" s="15" customFormat="1" x14ac:dyDescent="0.25">
      <c r="A12" s="19">
        <v>8</v>
      </c>
      <c r="B12" s="27">
        <v>2025</v>
      </c>
      <c r="C12" s="28" t="s">
        <v>26</v>
      </c>
      <c r="D12" s="29">
        <v>259903080209.09094</v>
      </c>
      <c r="E12" s="29">
        <v>175713218075.72726</v>
      </c>
      <c r="F12" s="29">
        <v>15750610316.545454</v>
      </c>
      <c r="G12" s="30">
        <v>7269257352</v>
      </c>
      <c r="H12" s="31">
        <v>9190407011.528301</v>
      </c>
      <c r="I12" s="29">
        <v>180317002410.4889</v>
      </c>
      <c r="J12" s="29">
        <f t="shared" si="0"/>
        <v>-4603784334.761627</v>
      </c>
      <c r="K12" s="32">
        <f t="shared" si="1"/>
        <v>-0.01771346584679913</v>
      </c>
      <c r="L12" s="29">
        <f t="shared" si="2"/>
        <v>11146825981.783813</v>
      </c>
      <c r="M12" s="32">
        <f t="shared" si="3"/>
        <v>0.042888395061790874</v>
      </c>
    </row>
    <row r="13" ht="23.25" customHeight="1" spans="1:13" s="15" customFormat="1" x14ac:dyDescent="0.25">
      <c r="A13" s="33">
        <v>9</v>
      </c>
      <c r="B13" s="34">
        <v>2025</v>
      </c>
      <c r="C13" s="35" t="s">
        <v>27</v>
      </c>
      <c r="D13" s="36">
        <v>264556209942.72726</v>
      </c>
      <c r="E13" s="36">
        <v>184009544032.0909</v>
      </c>
      <c r="F13" s="36">
        <v>19975525945.63636</v>
      </c>
      <c r="G13" s="37">
        <v>8449125700.141427</v>
      </c>
      <c r="H13" s="38">
        <v>10406526383.912731</v>
      </c>
      <c r="I13" s="36">
        <v>188441467613.21277</v>
      </c>
      <c r="J13" s="36">
        <f t="shared" si="0"/>
        <v>-4431923581.121857</v>
      </c>
      <c r="K13" s="39">
        <f t="shared" si="1"/>
        <v>-0.016752294652547777</v>
      </c>
      <c r="L13" s="36">
        <f t="shared" si="2"/>
        <v>15543602364.514496</v>
      </c>
      <c r="M13" s="39">
        <f t="shared" si="3"/>
        <v>0.05875349653625394</v>
      </c>
    </row>
    <row r="14" ht="23.25" customHeight="1" spans="1:13" s="15" customFormat="1" x14ac:dyDescent="0.25">
      <c r="A14" s="40">
        <v>10</v>
      </c>
      <c r="B14" s="41">
        <v>2025</v>
      </c>
      <c r="C14" s="42" t="s">
        <v>28</v>
      </c>
      <c r="D14" s="43">
        <v>264339987554.5454</v>
      </c>
      <c r="E14" s="43">
        <v>187792456157</v>
      </c>
      <c r="F14" s="43">
        <v>17105554752</v>
      </c>
      <c r="G14" s="44">
        <v>7873125859.16</v>
      </c>
      <c r="H14" s="45">
        <v>9801558037.32173</v>
      </c>
      <c r="I14" s="43">
        <v>194308874336.73608</v>
      </c>
      <c r="J14" s="43">
        <f t="shared" si="0"/>
        <v>-6516418179.736084</v>
      </c>
      <c r="K14" s="46">
        <f t="shared" si="1"/>
        <v>-0.024651655014515914</v>
      </c>
      <c r="L14" s="43">
        <f t="shared" si="2"/>
        <v>10589136572.263916</v>
      </c>
      <c r="M14" s="46">
        <f t="shared" si="3"/>
        <v>0.04005877684351065</v>
      </c>
    </row>
    <row r="15" ht="23.25" customHeight="1" spans="1:13" s="15" customFormat="1" x14ac:dyDescent="0.25">
      <c r="A15" s="19">
        <v>11</v>
      </c>
      <c r="B15" s="27">
        <v>2025</v>
      </c>
      <c r="C15" s="28" t="s">
        <v>29</v>
      </c>
      <c r="D15" s="29">
        <v>260546717902.72726</v>
      </c>
      <c r="E15" s="29">
        <v>193682127020.0909</v>
      </c>
      <c r="F15" s="29">
        <v>8765812468.363636</v>
      </c>
      <c r="G15" s="30">
        <v>3855008426.9351177</v>
      </c>
      <c r="H15" s="31">
        <v>4975873338.78683</v>
      </c>
      <c r="I15" s="29">
        <v>188206992321.45908</v>
      </c>
      <c r="J15" s="29">
        <f t="shared" si="0"/>
        <v>5475134698.631836</v>
      </c>
      <c r="K15" s="32">
        <f t="shared" si="1"/>
        <v>0.021014022908075653</v>
      </c>
      <c r="L15" s="29">
        <f t="shared" si="2"/>
        <v>14240947166.995483</v>
      </c>
      <c r="M15" s="32">
        <f t="shared" si="3"/>
        <v>0.054657941123296784</v>
      </c>
    </row>
    <row r="16" ht="23.25" customHeight="1" spans="1:13" s="15" customFormat="1" x14ac:dyDescent="0.25">
      <c r="A16" s="47">
        <v>12</v>
      </c>
      <c r="B16" s="48">
        <v>2025</v>
      </c>
      <c r="C16" s="49" t="s">
        <v>30</v>
      </c>
      <c r="D16" s="50">
        <v>260201078975.45456</v>
      </c>
      <c r="E16" s="50">
        <v>199768702129.90906</v>
      </c>
      <c r="F16" s="50">
        <v>10946151593.636364</v>
      </c>
      <c r="G16" s="51">
        <v>6685954779</v>
      </c>
      <c r="H16" s="52">
        <v>8199023714.924528</v>
      </c>
      <c r="I16" s="50">
        <v>196522253444.56232</v>
      </c>
      <c r="J16" s="50">
        <f t="shared" si="0"/>
        <v>3246448685.3467407</v>
      </c>
      <c r="K16" s="53">
        <f t="shared" si="1"/>
        <v>0.012476691865113236</v>
      </c>
      <c r="L16" s="50">
        <f t="shared" si="2"/>
        <v>14192600278.983093</v>
      </c>
      <c r="M16" s="53">
        <f t="shared" si="3"/>
        <v>0.05454474030187215</v>
      </c>
    </row>
    <row r="17" ht="23.25" customHeight="1" spans="1:13" s="15" customFormat="1" x14ac:dyDescent="0.25">
      <c r="A17" s="61" t="s">
        <v>31</v>
      </c>
      <c r="B17" s="62"/>
      <c r="C17" s="62"/>
      <c r="D17" s="63">
        <f t="shared" ref="D17:I17" si="4">SUM(D5:D16)</f>
        <v>3095294405227.9087</v>
      </c>
      <c r="E17" s="63">
        <f t="shared" si="4"/>
        <v>2044753794625.6362</v>
      </c>
      <c r="F17" s="63">
        <f t="shared" si="4"/>
        <v>183152067724.27274</v>
      </c>
      <c r="G17" s="63">
        <f t="shared" si="4"/>
        <v>110689996736.51347</v>
      </c>
      <c r="H17" s="63">
        <f t="shared" si="4"/>
        <v>137177290398.67702</v>
      </c>
      <c r="I17" s="63">
        <f t="shared" si="4"/>
        <v>2076611556467.5913</v>
      </c>
      <c r="J17" s="63"/>
      <c r="K17" s="64">
        <f t="shared" si="1"/>
        <v>-0.010292320429406575</v>
      </c>
      <c r="L17" s="63"/>
      <c r="M17" s="64">
        <f t="shared" si="3"/>
        <v>0.04887880959781529</v>
      </c>
    </row>
    <row r="18" ht="22.5" customHeight="1" spans="1:13" s="15" customFormat="1" x14ac:dyDescent="0.25">
      <c r="A18" s="40">
        <v>13</v>
      </c>
      <c r="B18" s="41">
        <v>2026</v>
      </c>
      <c r="C18" s="42" t="s">
        <v>19</v>
      </c>
      <c r="D18" s="43">
        <v>269329074888.54547</v>
      </c>
      <c r="E18" s="43">
        <v>200294445784.45453</v>
      </c>
      <c r="F18" s="43">
        <v>9386708456.727272</v>
      </c>
      <c r="G18" s="44">
        <v>11908244419</v>
      </c>
      <c r="H18" s="45">
        <v>14404600264.69174</v>
      </c>
      <c r="I18" s="43">
        <v>197351656107.84976</v>
      </c>
      <c r="J18" s="43">
        <f t="shared" ref="J18:J29" si="5">E18-I18</f>
        <v>2942789676.604767</v>
      </c>
      <c r="K18" s="46">
        <f t="shared" si="1"/>
        <v>0.010926372051820104</v>
      </c>
      <c r="L18" s="43">
        <f t="shared" ref="L18:L29" si="6">E18+F18-I18</f>
        <v>12329498133.332031</v>
      </c>
      <c r="M18" s="46">
        <f t="shared" si="3"/>
        <v>0.04577856341144847</v>
      </c>
    </row>
    <row r="19" ht="22.5" customHeight="1" spans="1:13" s="15" customFormat="1" x14ac:dyDescent="0.25">
      <c r="A19" s="19">
        <v>14</v>
      </c>
      <c r="B19" s="27">
        <v>2026</v>
      </c>
      <c r="C19" s="28" t="s">
        <v>20</v>
      </c>
      <c r="D19" s="29">
        <v>251631344524.90906</v>
      </c>
      <c r="E19" s="29">
        <v>185673217350.45456</v>
      </c>
      <c r="F19" s="29">
        <v>7702842613.818182</v>
      </c>
      <c r="G19" s="30">
        <v>3530379613</v>
      </c>
      <c r="H19" s="31">
        <v>4418819300.49663</v>
      </c>
      <c r="I19" s="29">
        <v>186039636296.50653</v>
      </c>
      <c r="J19" s="29">
        <f t="shared" si="5"/>
        <v>-366418946.05197144</v>
      </c>
      <c r="K19" s="32">
        <f t="shared" si="1"/>
        <v>-0.0014561737002351054</v>
      </c>
      <c r="L19" s="29">
        <f t="shared" si="6"/>
        <v>7336423667.766205</v>
      </c>
      <c r="M19" s="32">
        <f t="shared" si="3"/>
        <v>0.02915544437286894</v>
      </c>
    </row>
    <row r="20" ht="22.5" customHeight="1" spans="1:13" s="15" customFormat="1" x14ac:dyDescent="0.25">
      <c r="A20" s="47">
        <v>15</v>
      </c>
      <c r="B20" s="48">
        <v>2026</v>
      </c>
      <c r="C20" s="49" t="s">
        <v>21</v>
      </c>
      <c r="D20" s="50">
        <v>251670795699.45453</v>
      </c>
      <c r="E20" s="50">
        <v>188290238713.1818</v>
      </c>
      <c r="F20" s="50">
        <v>7790905629.363636</v>
      </c>
      <c r="G20" s="51">
        <v>5534732435.440001</v>
      </c>
      <c r="H20" s="52">
        <v>6869789562.104364</v>
      </c>
      <c r="I20" s="50">
        <v>187078010177.47928</v>
      </c>
      <c r="J20" s="50">
        <f t="shared" si="5"/>
        <v>1212228535.7025146</v>
      </c>
      <c r="K20" s="53">
        <f t="shared" si="1"/>
        <v>0.004816723101834028</v>
      </c>
      <c r="L20" s="50">
        <f t="shared" si="6"/>
        <v>9003134165.066162</v>
      </c>
      <c r="M20" s="53">
        <f t="shared" si="3"/>
        <v>0.03577345611374676</v>
      </c>
    </row>
    <row r="21" ht="22.5" customHeight="1" spans="1:13" s="15" customFormat="1" x14ac:dyDescent="0.25">
      <c r="A21" s="54">
        <v>16</v>
      </c>
      <c r="B21" s="55">
        <v>2026</v>
      </c>
      <c r="C21" s="56" t="s">
        <v>22</v>
      </c>
      <c r="D21" s="57">
        <v>237795089783.36362</v>
      </c>
      <c r="E21" s="57">
        <v>176666652861.09088</v>
      </c>
      <c r="F21" s="57">
        <v>8414087363.636364</v>
      </c>
      <c r="G21" s="58">
        <v>5463816194.649846</v>
      </c>
      <c r="H21" s="59">
        <v>6629242312.869385</v>
      </c>
      <c r="I21" s="57">
        <v>175361522371.93338</v>
      </c>
      <c r="J21" s="57">
        <f t="shared" si="5"/>
        <v>1305130489.1575012</v>
      </c>
      <c r="K21" s="60">
        <f t="shared" si="1"/>
        <v>0.005488466941628201</v>
      </c>
      <c r="L21" s="57">
        <f t="shared" si="6"/>
        <v>9719217852.793854</v>
      </c>
      <c r="M21" s="60">
        <f t="shared" si="3"/>
        <v>0.04087223946317928</v>
      </c>
    </row>
    <row r="22" ht="22.5" customHeight="1" spans="1:13" s="15" customFormat="1" x14ac:dyDescent="0.25">
      <c r="A22" s="19">
        <v>17</v>
      </c>
      <c r="B22" s="27">
        <v>2026</v>
      </c>
      <c r="C22" s="28" t="s">
        <v>23</v>
      </c>
      <c r="D22" s="29">
        <v>234052594281.2727</v>
      </c>
      <c r="E22" s="29">
        <v>179001383457.99997</v>
      </c>
      <c r="F22" s="29">
        <v>8871953545.454544</v>
      </c>
      <c r="G22" s="30">
        <v>4184325281</v>
      </c>
      <c r="H22" s="31">
        <v>5357386672.323782</v>
      </c>
      <c r="I22" s="29">
        <v>174115343711.2718</v>
      </c>
      <c r="J22" s="29">
        <f t="shared" si="5"/>
        <v>4886039746.72818</v>
      </c>
      <c r="K22" s="32">
        <f t="shared" si="1"/>
        <v>0.02087581964956296</v>
      </c>
      <c r="L22" s="29">
        <f t="shared" si="6"/>
        <v>13757993292.18274</v>
      </c>
      <c r="M22" s="32">
        <f t="shared" si="3"/>
        <v>0.05878163125869509</v>
      </c>
    </row>
    <row r="23" ht="22.5" customHeight="1" spans="1:13" s="15" customFormat="1" x14ac:dyDescent="0.25">
      <c r="A23" s="33">
        <v>18</v>
      </c>
      <c r="B23" s="34">
        <v>2026</v>
      </c>
      <c r="C23" s="35" t="s">
        <v>24</v>
      </c>
      <c r="D23" s="36">
        <v>236848038079</v>
      </c>
      <c r="E23" s="36">
        <v>181837158518.09088</v>
      </c>
      <c r="F23" s="36">
        <v>8868649000</v>
      </c>
      <c r="G23" s="37">
        <v>4884937703</v>
      </c>
      <c r="H23" s="38">
        <v>5727064839.1296215</v>
      </c>
      <c r="I23" s="36">
        <v>179389135304.05386</v>
      </c>
      <c r="J23" s="36">
        <f t="shared" si="5"/>
        <v>2448023214.037018</v>
      </c>
      <c r="K23" s="39">
        <f t="shared" si="1"/>
        <v>0.010335839105496354</v>
      </c>
      <c r="L23" s="36">
        <f t="shared" si="6"/>
        <v>11316672214.037018</v>
      </c>
      <c r="M23" s="39">
        <f t="shared" si="3"/>
        <v>0.047780308022912034</v>
      </c>
    </row>
    <row r="24" ht="22.5" customHeight="1" spans="1:13" s="15" customFormat="1" x14ac:dyDescent="0.25">
      <c r="A24" s="40">
        <v>19</v>
      </c>
      <c r="B24" s="41">
        <v>2026</v>
      </c>
      <c r="C24" s="42" t="s">
        <v>25</v>
      </c>
      <c r="D24" s="43">
        <v>236870255788.0909</v>
      </c>
      <c r="E24" s="43">
        <v>183117980979</v>
      </c>
      <c r="F24" s="43">
        <v>11559537181.81818</v>
      </c>
      <c r="G24" s="44">
        <v>5552581672</v>
      </c>
      <c r="H24" s="45">
        <v>6975177664.245579</v>
      </c>
      <c r="I24" s="43">
        <v>177704687630.68924</v>
      </c>
      <c r="J24" s="43">
        <f t="shared" si="5"/>
        <v>5413293348.3107605</v>
      </c>
      <c r="K24" s="46">
        <f t="shared" si="1"/>
        <v>0.022853411165113132</v>
      </c>
      <c r="L24" s="43">
        <f t="shared" si="6"/>
        <v>16972830530.128937</v>
      </c>
      <c r="M24" s="46">
        <f t="shared" si="3"/>
        <v>0.07165454553869012</v>
      </c>
    </row>
    <row r="25" ht="22.5" customHeight="1" spans="1:13" s="15" customFormat="1" x14ac:dyDescent="0.25">
      <c r="A25" s="19">
        <v>20</v>
      </c>
      <c r="B25" s="27">
        <v>2026</v>
      </c>
      <c r="C25" s="28" t="s">
        <v>26</v>
      </c>
      <c r="D25" s="29">
        <v>239346787359.00003</v>
      </c>
      <c r="E25" s="29">
        <v>190513709735.36362</v>
      </c>
      <c r="F25" s="29">
        <v>10356096363.636362</v>
      </c>
      <c r="G25" s="30">
        <v>4157145586</v>
      </c>
      <c r="H25" s="31">
        <v>5015932919.604371</v>
      </c>
      <c r="I25" s="29">
        <v>180092169124.8225</v>
      </c>
      <c r="J25" s="29">
        <f t="shared" si="5"/>
        <v>10421540610.541107</v>
      </c>
      <c r="K25" s="32">
        <f t="shared" si="1"/>
        <v>0.04354159387529056</v>
      </c>
      <c r="L25" s="29">
        <f t="shared" si="6"/>
        <v>20777636974.17746</v>
      </c>
      <c r="M25" s="32">
        <f t="shared" si="3"/>
        <v>0.08680975919268452</v>
      </c>
    </row>
    <row r="26" ht="22.5" customHeight="1" spans="1:13" s="15" customFormat="1" x14ac:dyDescent="0.25">
      <c r="A26" s="47">
        <v>21</v>
      </c>
      <c r="B26" s="48">
        <v>2026</v>
      </c>
      <c r="C26" s="49" t="s">
        <v>27</v>
      </c>
      <c r="D26" s="50">
        <v>226633241271</v>
      </c>
      <c r="E26" s="50">
        <v>174403880926</v>
      </c>
      <c r="F26" s="50">
        <v>6806789091</v>
      </c>
      <c r="G26" s="51">
        <v>4646269725</v>
      </c>
      <c r="H26" s="52">
        <v>5739767540</v>
      </c>
      <c r="I26" s="50">
        <v>165860367896</v>
      </c>
      <c r="J26" s="50">
        <v>8543513030</v>
      </c>
      <c r="K26" s="53">
        <v>0.03769752831529233</v>
      </c>
      <c r="L26" s="50">
        <v>15350302121</v>
      </c>
      <c r="M26" s="53">
        <v>0.06773190920675512</v>
      </c>
    </row>
    <row r="27" ht="22.5" customHeight="1" spans="1:13" s="15" customFormat="1" x14ac:dyDescent="0.25">
      <c r="A27" s="54">
        <v>22</v>
      </c>
      <c r="B27" s="55">
        <v>2026</v>
      </c>
      <c r="C27" s="56" t="s">
        <v>28</v>
      </c>
      <c r="D27" s="57"/>
      <c r="E27" s="57"/>
      <c r="F27" s="57"/>
      <c r="G27" s="58"/>
      <c r="H27" s="59"/>
      <c r="I27" s="57"/>
      <c r="J27" s="57">
        <f t="shared" si="5"/>
        <v>0</v>
      </c>
      <c r="K27" s="60"/>
      <c r="L27" s="57"/>
      <c r="M27" s="60"/>
    </row>
    <row r="28" ht="22.5" customHeight="1" spans="1:13" s="15" customFormat="1" x14ac:dyDescent="0.25">
      <c r="A28" s="19">
        <v>23</v>
      </c>
      <c r="B28" s="27">
        <v>2026</v>
      </c>
      <c r="C28" s="28" t="s">
        <v>29</v>
      </c>
      <c r="D28" s="29"/>
      <c r="E28" s="29"/>
      <c r="F28" s="29"/>
      <c r="G28" s="30"/>
      <c r="H28" s="31"/>
      <c r="I28" s="29"/>
      <c r="J28" s="29">
        <f t="shared" si="5"/>
        <v>0</v>
      </c>
      <c r="K28" s="32"/>
      <c r="L28" s="29"/>
      <c r="M28" s="32"/>
    </row>
    <row r="29" ht="22.5" customHeight="1" spans="1:13" s="15" customFormat="1" x14ac:dyDescent="0.25">
      <c r="A29" s="33">
        <v>24</v>
      </c>
      <c r="B29" s="34">
        <v>2026</v>
      </c>
      <c r="C29" s="35" t="s">
        <v>30</v>
      </c>
      <c r="D29" s="36"/>
      <c r="E29" s="36"/>
      <c r="F29" s="36"/>
      <c r="G29" s="37"/>
      <c r="H29" s="38"/>
      <c r="I29" s="36"/>
      <c r="J29" s="36">
        <f t="shared" si="5"/>
        <v>0</v>
      </c>
      <c r="K29" s="39"/>
      <c r="L29" s="36"/>
      <c r="M29" s="39"/>
    </row>
    <row r="30" ht="23.25" customHeight="1" spans="1:13" s="15" customFormat="1" x14ac:dyDescent="0.25">
      <c r="A30" s="65" t="s">
        <v>32</v>
      </c>
      <c r="B30" s="66"/>
      <c r="C30" s="66"/>
      <c r="D30" s="67">
        <f t="shared" ref="D30:I30" si="7">SUM(D18:D29)</f>
        <v>1957543980403.6362</v>
      </c>
      <c r="E30" s="67">
        <f t="shared" si="7"/>
        <v>1485394787399.636</v>
      </c>
      <c r="F30" s="67">
        <f t="shared" si="7"/>
        <v>72950780154.45454</v>
      </c>
      <c r="G30" s="67">
        <f t="shared" si="7"/>
        <v>45216162904.08984</v>
      </c>
      <c r="H30" s="67">
        <f t="shared" si="7"/>
        <v>55398013535.46547</v>
      </c>
      <c r="I30" s="67">
        <f t="shared" si="7"/>
        <v>1457132160724.6064</v>
      </c>
      <c r="J30" s="67"/>
      <c r="K30" s="68">
        <f t="shared" si="1"/>
        <v>0.014437799077802545</v>
      </c>
      <c r="L30" s="67"/>
      <c r="M30" s="68">
        <f t="shared" si="3"/>
        <v>0.05170428242874748</v>
      </c>
    </row>
    <row r="31" ht="24" customHeight="1" spans="2:2" x14ac:dyDescent="0.25">
      <c r="B31" s="69"/>
    </row>
  </sheetData>
  <mergeCells count="3">
    <mergeCell ref="B1:F2"/>
    <mergeCell ref="A17:C17"/>
    <mergeCell ref="A30:C30"/>
  </mergeCells>
  <pageMargins left="0.24" right="0.16" top="0.56" bottom="0.56" header="0.31496062992125984" footer="0.31496062992125984"/>
  <pageSetup paperSize="9" orientation="landscape" horizontalDpi="4294967295" verticalDpi="4294967295" scale="65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6.5" outlineLevelRow="0" outlineLevelCol="0" x14ac:dyDescent="0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6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월별기성집계표</vt:lpstr>
      <vt:lpstr>Sheet2</vt:lpstr>
      <vt:lpstr>Sheet3</vt:lpstr>
    </vt:vector>
  </TitlesOfParts>
  <Company>sigongtech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seosm</dc:creator>
  <cp:lastModifiedBy>seosm</cp:lastModifiedBy>
  <cp:lastPrinted>2026-09-16T07:29:17Z</cp:lastPrinted>
  <dcterms:created xsi:type="dcterms:W3CDTF">2026-09-16T07:28:26Z</dcterms:created>
  <dcterms:modified xsi:type="dcterms:W3CDTF">2026-09-16T07:44:30Z</dcterms:modified>
</cp:coreProperties>
</file>